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Admin\Desktop\"/>
    </mc:Choice>
  </mc:AlternateContent>
  <xr:revisionPtr revIDLastSave="0" documentId="13_ncr:1_{F6A69A77-8A7B-46EE-873E-813037AD6B3C}" xr6:coauthVersionLast="47" xr6:coauthVersionMax="47" xr10:uidLastSave="{00000000-0000-0000-0000-000000000000}"/>
  <bookViews>
    <workbookView xWindow="-110" yWindow="-110" windowWidth="25820" windowHeight="14020" xr2:uid="{00000000-000D-0000-FFFF-FFFF00000000}"/>
  </bookViews>
  <sheets>
    <sheet name="Лист1" sheetId="1" r:id="rId1"/>
  </sheets>
  <calcPr calcId="191029"/>
</workbook>
</file>

<file path=xl/calcChain.xml><?xml version="1.0" encoding="utf-8"?>
<calcChain xmlns="http://schemas.openxmlformats.org/spreadsheetml/2006/main">
  <c r="E14" i="1" l="1"/>
  <c r="E9" i="1"/>
  <c r="C2" i="1"/>
  <c r="G3" i="1" s="1"/>
  <c r="C4" i="1" l="1"/>
  <c r="H3" i="1"/>
  <c r="E13" i="1" s="1"/>
  <c r="D6" i="1" l="1"/>
  <c r="E6" i="1" s="1"/>
  <c r="D12" i="1"/>
  <c r="E12" i="1" s="1"/>
  <c r="D5" i="1"/>
  <c r="E5" i="1" s="1"/>
  <c r="D11" i="1"/>
  <c r="E11" i="1" s="1"/>
  <c r="D10" i="1"/>
  <c r="E10" i="1" s="1"/>
  <c r="D8" i="1"/>
  <c r="E8" i="1" s="1"/>
  <c r="D15" i="1"/>
  <c r="E15" i="1" s="1"/>
  <c r="D7" i="1"/>
  <c r="E7" i="1" s="1"/>
  <c r="D4" i="1"/>
</calcChain>
</file>

<file path=xl/sharedStrings.xml><?xml version="1.0" encoding="utf-8"?>
<sst xmlns="http://schemas.openxmlformats.org/spreadsheetml/2006/main" count="21" uniqueCount="21">
  <si>
    <t>karobkalani kilosi</t>
  </si>
  <si>
    <t>qoshilgan karobka</t>
  </si>
  <si>
    <t>Toza yuk</t>
  </si>
  <si>
    <t>karobka 1kg uchun</t>
  </si>
  <si>
    <t>karobka</t>
  </si>
  <si>
    <t>mandarin</t>
  </si>
  <si>
    <t>akb</t>
  </si>
  <si>
    <t>jet</t>
  </si>
  <si>
    <t>xabib</t>
  </si>
  <si>
    <t>navo</t>
  </si>
  <si>
    <t>izi</t>
  </si>
  <si>
    <t>jon</t>
  </si>
  <si>
    <t>one</t>
  </si>
  <si>
    <t>redwing</t>
  </si>
  <si>
    <t>triton</t>
  </si>
  <si>
    <t>top</t>
  </si>
  <si>
    <t>uzt</t>
  </si>
  <si>
    <t>M174</t>
  </si>
  <si>
    <t>29,06,2026</t>
  </si>
  <si>
    <t>M233</t>
  </si>
  <si>
    <t>umumiy  og'irligi: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</si>
</sst>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3">
    <font>
      <sz val="11"/>
      <color theme="1"/>
      <name val="Calibri"/>
      <charset val="134"/>
      <scheme val="minor"/>
    </font>
    <font>
      <b/>
      <sz val="11"/>
      <color theme="1"/>
      <name val="Calibri"/>
      <charset val="204"/>
      <scheme val="minor"/>
    </font>
    <font>
      <sz val="11"/>
      <color theme="1"/>
      <name val="Calibri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39991454817346722"/>
        <bgColor indexed="64"/>
      </patternFill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1" fillId="2" borderId="1" xfId="0" applyFont="1" applyFill="1" applyBorder="1"/>
    <xf numFmtId="164" fontId="2" fillId="2" borderId="1" xfId="0" applyNumberFormat="1" applyFont="1" applyFill="1" applyBorder="1"/>
    <xf numFmtId="0" fontId="1" fillId="3" borderId="1" xfId="0" applyFont="1" applyFill="1" applyBorder="1"/>
    <xf numFmtId="0" fontId="0" fillId="3" borderId="1" xfId="0" applyFill="1" applyBorder="1"/>
    <xf numFmtId="0" fontId="2" fillId="3" borderId="1" xfId="0" applyFont="1" applyFill="1" applyBorder="1"/>
    <xf numFmtId="2" fontId="0" fillId="3" borderId="1" xfId="0" applyNumberFormat="1" applyFill="1" applyBorder="1"/>
    <xf numFmtId="0" fontId="1" fillId="2" borderId="2" xfId="0" applyFont="1" applyFill="1" applyBorder="1"/>
    <xf numFmtId="2" fontId="1" fillId="2" borderId="2" xfId="0" applyNumberFormat="1" applyFont="1" applyFill="1" applyBorder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29"/>
  <sheetViews>
    <sheetView tabSelected="1" workbookViewId="0">
      <selection activeCell="J17" sqref="J17"/>
    </sheetView>
  </sheetViews>
  <sheetFormatPr defaultColWidth="9" defaultRowHeight="14.5"/>
  <cols>
    <col min="1" max="1" width="15.6328125" customWidth="1"/>
    <col min="2" max="2" width="11.1796875" customWidth="1"/>
    <col min="4" max="4" width="16.54296875" customWidth="1"/>
    <col min="5" max="5" width="26.81640625" customWidth="1"/>
    <col min="6" max="6" width="17.90625" customWidth="1"/>
    <col min="7" max="7" width="16.1796875" customWidth="1"/>
    <col min="8" max="8" width="17.36328125" customWidth="1"/>
    <col min="9" max="9" width="8.08984375" customWidth="1"/>
    <col min="10" max="10" width="16.1796875" customWidth="1"/>
  </cols>
  <sheetData>
    <row r="1" spans="1:8">
      <c r="A1" s="1" t="s">
        <v>0</v>
      </c>
    </row>
    <row r="2" spans="1:8">
      <c r="A2">
        <v>707.72</v>
      </c>
      <c r="B2" s="2" t="s">
        <v>17</v>
      </c>
      <c r="C2" s="2">
        <f>SUM(A:A)</f>
        <v>707.72</v>
      </c>
      <c r="D2" s="2" t="s">
        <v>1</v>
      </c>
      <c r="E2" s="2" t="s">
        <v>20</v>
      </c>
      <c r="F2" s="3" t="s">
        <v>18</v>
      </c>
      <c r="G2" s="2" t="s">
        <v>2</v>
      </c>
      <c r="H2" s="2" t="s">
        <v>3</v>
      </c>
    </row>
    <row r="3" spans="1:8">
      <c r="B3" s="2" t="s">
        <v>4</v>
      </c>
      <c r="C3" s="4">
        <v>44</v>
      </c>
      <c r="D3" s="5"/>
      <c r="E3" s="5"/>
      <c r="F3" s="6" t="s">
        <v>19</v>
      </c>
      <c r="G3" s="5">
        <f>C2-C9-C13-C3-C14</f>
        <v>510.43999999999994</v>
      </c>
      <c r="H3" s="7">
        <f>C3/G3</f>
        <v>8.6200141054776275E-2</v>
      </c>
    </row>
    <row r="4" spans="1:8">
      <c r="B4" s="2" t="s">
        <v>5</v>
      </c>
      <c r="C4" s="6">
        <f>G3-C5-C6-C8-C7-C11-C10-C12-C15</f>
        <v>203.61999999999995</v>
      </c>
      <c r="D4" s="7">
        <f>C4*H3</f>
        <v>17.552072721573541</v>
      </c>
      <c r="E4" s="7">
        <v>221.18</v>
      </c>
      <c r="F4" s="5"/>
      <c r="G4" s="5"/>
      <c r="H4" s="5"/>
    </row>
    <row r="5" spans="1:8">
      <c r="B5" s="2" t="s">
        <v>6</v>
      </c>
      <c r="C5" s="5">
        <v>40.56</v>
      </c>
      <c r="D5" s="7">
        <f>C5*H3</f>
        <v>3.496277721181726</v>
      </c>
      <c r="E5" s="7">
        <f>C5+D5</f>
        <v>44.056277721181729</v>
      </c>
      <c r="F5" s="5"/>
      <c r="G5" s="5"/>
      <c r="H5" s="5"/>
    </row>
    <row r="6" spans="1:8">
      <c r="B6" s="2" t="s">
        <v>7</v>
      </c>
      <c r="C6" s="5">
        <v>27.9</v>
      </c>
      <c r="D6" s="7">
        <f>C6*$H$3</f>
        <v>2.4049839354282581</v>
      </c>
      <c r="E6" s="7">
        <f t="shared" ref="E6:E15" si="0">C6+D6</f>
        <v>30.304983935428258</v>
      </c>
      <c r="F6" s="5"/>
      <c r="G6" s="5"/>
      <c r="H6" s="5"/>
    </row>
    <row r="7" spans="1:8">
      <c r="B7" s="2" t="s">
        <v>8</v>
      </c>
      <c r="C7" s="5">
        <v>130.18</v>
      </c>
      <c r="D7" s="7">
        <f>C7*$H$3</f>
        <v>11.221534362510775</v>
      </c>
      <c r="E7" s="7">
        <f t="shared" si="0"/>
        <v>141.40153436251077</v>
      </c>
      <c r="F7" s="5"/>
      <c r="G7" s="5"/>
      <c r="H7" s="5"/>
    </row>
    <row r="8" spans="1:8">
      <c r="B8" s="2" t="s">
        <v>9</v>
      </c>
      <c r="C8" s="5">
        <v>32.64</v>
      </c>
      <c r="D8" s="7">
        <f>C8*$H$3</f>
        <v>2.8135726040278977</v>
      </c>
      <c r="E8" s="7">
        <f t="shared" si="0"/>
        <v>35.453572604027897</v>
      </c>
      <c r="F8" s="5"/>
      <c r="G8" s="5"/>
      <c r="H8" s="5"/>
    </row>
    <row r="9" spans="1:8">
      <c r="B9" s="2" t="s">
        <v>10</v>
      </c>
      <c r="C9" s="5">
        <v>106.96</v>
      </c>
      <c r="D9" s="5"/>
      <c r="E9" s="7">
        <f t="shared" si="0"/>
        <v>106.96</v>
      </c>
      <c r="F9" s="5"/>
      <c r="G9" s="5"/>
      <c r="H9" s="5"/>
    </row>
    <row r="10" spans="1:8">
      <c r="B10" s="2" t="s">
        <v>11</v>
      </c>
      <c r="C10" s="5">
        <v>25.66</v>
      </c>
      <c r="D10" s="7">
        <f>C10*$H$3</f>
        <v>2.211895619465559</v>
      </c>
      <c r="E10" s="7">
        <f t="shared" si="0"/>
        <v>27.871895619465558</v>
      </c>
      <c r="F10" s="5"/>
      <c r="G10" s="5"/>
      <c r="H10" s="5"/>
    </row>
    <row r="11" spans="1:8">
      <c r="B11" s="2" t="s">
        <v>12</v>
      </c>
      <c r="C11" s="5">
        <v>27.68</v>
      </c>
      <c r="D11" s="7">
        <f>C11*$H$3</f>
        <v>2.3860199043962074</v>
      </c>
      <c r="E11" s="7">
        <f t="shared" si="0"/>
        <v>30.066019904396207</v>
      </c>
      <c r="F11" s="5"/>
      <c r="G11" s="5"/>
      <c r="H11" s="5"/>
    </row>
    <row r="12" spans="1:8">
      <c r="B12" s="2" t="s">
        <v>13</v>
      </c>
      <c r="C12" s="5">
        <v>21.84</v>
      </c>
      <c r="D12" s="7">
        <f>C12*$H$3</f>
        <v>1.8826110806363139</v>
      </c>
      <c r="E12" s="7">
        <f t="shared" si="0"/>
        <v>23.722611080636312</v>
      </c>
      <c r="F12" s="5"/>
      <c r="G12" s="5"/>
      <c r="H12" s="5"/>
    </row>
    <row r="13" spans="1:8">
      <c r="B13" s="2" t="s">
        <v>14</v>
      </c>
      <c r="C13" s="5">
        <v>46.32</v>
      </c>
      <c r="D13" s="5"/>
      <c r="E13" s="7">
        <f t="shared" si="0"/>
        <v>46.32</v>
      </c>
      <c r="F13" s="5"/>
      <c r="G13" s="5"/>
      <c r="H13" s="5"/>
    </row>
    <row r="14" spans="1:8">
      <c r="B14" s="2" t="s">
        <v>15</v>
      </c>
      <c r="C14" s="5"/>
      <c r="D14" s="5"/>
      <c r="E14" s="5">
        <f t="shared" si="0"/>
        <v>0</v>
      </c>
      <c r="F14" s="5"/>
      <c r="G14" s="5"/>
      <c r="H14" s="5"/>
    </row>
    <row r="15" spans="1:8">
      <c r="B15" s="8" t="s">
        <v>16</v>
      </c>
      <c r="C15" s="8">
        <v>0.36</v>
      </c>
      <c r="D15" s="7">
        <f>C15*$H$3</f>
        <v>3.1032050779719458E-2</v>
      </c>
      <c r="E15" s="9">
        <f t="shared" si="0"/>
        <v>0.39103205077971942</v>
      </c>
      <c r="F15" s="8"/>
      <c r="G15" s="8"/>
      <c r="H15" s="8"/>
    </row>
    <row r="16" spans="1:8">
      <c r="C16" s="1"/>
    </row>
    <row r="25" spans="1:1">
      <c r="A25" s="10"/>
    </row>
    <row r="129" spans="1:1">
      <c r="A129" s="10"/>
    </row>
  </sheetData>
  <pageMargins left="0.7" right="0.7" top="0.75" bottom="0.75" header="0.3" footer="0.3"/>
  <pageSetup paperSize="256" orientation="portrait" horizontalDpi="203" verticalDpi="20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Лист1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Jorabekjon Gaybullayev</cp:lastModifiedBy>
  <dcterms:created xsi:type="dcterms:W3CDTF">2015-06-05T18:19:00Z</dcterms:created>
  <dcterms:modified xsi:type="dcterms:W3CDTF">2026-07-03T12:12:52Z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F22FAE614A234D14A35EEE34AD0EB9C3_12</vt:lpwstr>
  </property>
  <property fmtid="{D5CDD505-2E9C-101B-9397-08002B2CF9AE}" pid="3" name="KSOProductBuildVer">
    <vt:lpwstr>1049-12.1.0.26880</vt:lpwstr>
  </property>
  <property fmtid="{D5CDD505-2E9C-101B-9397-08002B2CF9AE}" pid="4" name="CalculationRule">
    <vt:i4>0</vt:i4>
  </property>
</Properties>
</file>