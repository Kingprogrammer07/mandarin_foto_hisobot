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3">
    <font>
      <name val="Calibri"/>
      <charset val="134"/>
      <color theme="1"/>
      <sz val="11"/>
      <scheme val="minor"/>
    </font>
    <font>
      <name val="Calibri"/>
      <charset val="204"/>
      <b val="1"/>
      <color theme="1"/>
      <sz val="11"/>
      <scheme val="minor"/>
    </font>
    <font>
      <name val="Calibri"/>
      <charset val="20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3999145481734672"/>
        <bgColor indexed="64"/>
      </patternFill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164" fontId="2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2" fillId="3" borderId="1" pivotButton="0" quotePrefix="0" xfId="0"/>
    <xf numFmtId="2" fontId="0" fillId="3" borderId="1" pivotButton="0" quotePrefix="0" xfId="0"/>
    <xf numFmtId="0" fontId="1" fillId="2" borderId="2" pivotButton="0" quotePrefix="0" xfId="0"/>
    <xf numFmtId="2" fontId="1" fillId="2" borderId="2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tabSelected="1" workbookViewId="0">
      <selection activeCell="J17" sqref="J17"/>
    </sheetView>
  </sheetViews>
  <sheetFormatPr baseColWidth="8" defaultColWidth="9" defaultRowHeight="14.5"/>
  <cols>
    <col width="15.6328125" customWidth="1" min="1" max="1"/>
    <col width="11.1796875" customWidth="1" min="2" max="2"/>
    <col width="16.54296875" customWidth="1" min="4" max="4"/>
    <col width="26.81640625" customWidth="1" min="5" max="5"/>
    <col width="17.90625" customWidth="1" min="6" max="6"/>
    <col width="16.1796875" customWidth="1" min="7" max="7"/>
    <col width="17.36328125" customWidth="1" min="8" max="8"/>
    <col width="8.08984375" customWidth="1" min="9" max="9"/>
    <col width="16.1796875" customWidth="1" min="10" max="10"/>
  </cols>
  <sheetData>
    <row r="1">
      <c r="A1" s="1" t="inlineStr">
        <is>
          <t>karobkalani kilosi</t>
        </is>
      </c>
    </row>
    <row r="2">
      <c r="A2" t="n">
        <v>707.72</v>
      </c>
      <c r="B2" s="2" t="n"/>
      <c r="C2" s="2">
        <f>SUM(A:A)</f>
        <v/>
      </c>
      <c r="D2" s="2" t="inlineStr">
        <is>
          <t>qoshilgan karobka</t>
        </is>
      </c>
      <c r="E2" s="2" t="inlineStr">
        <is>
          <t>umumiy  og'irligi:</t>
        </is>
      </c>
      <c r="F2" s="3" t="inlineStr">
        <is>
          <t>29,06,2026</t>
        </is>
      </c>
      <c r="G2" s="2" t="inlineStr">
        <is>
          <t>Toza yuk</t>
        </is>
      </c>
      <c r="H2" s="2" t="inlineStr">
        <is>
          <t>karobka 1kg uchun</t>
        </is>
      </c>
    </row>
    <row r="3">
      <c r="B3" s="2" t="inlineStr">
        <is>
          <t>karobka</t>
        </is>
      </c>
      <c r="C3" s="4" t="n">
        <v>44</v>
      </c>
      <c r="D3" s="5" t="n"/>
      <c r="E3" s="5" t="n"/>
      <c r="F3" s="6" t="inlineStr">
        <is>
          <t>M233</t>
        </is>
      </c>
      <c r="G3" s="5">
        <f>C2-C9-C13-C3-C14</f>
        <v/>
      </c>
      <c r="H3" s="7">
        <f>C3/G3</f>
        <v/>
      </c>
    </row>
    <row r="4">
      <c r="B4" s="2" t="inlineStr">
        <is>
          <t>mandarin</t>
        </is>
      </c>
      <c r="C4" s="6">
        <f>G3-C5-C6-C8-C7-C11-C10-C12-C15</f>
        <v/>
      </c>
      <c r="D4" s="7">
        <f>C4*H3</f>
        <v/>
      </c>
      <c r="E4" s="7" t="n">
        <v>221.18</v>
      </c>
      <c r="F4" s="5" t="n"/>
      <c r="G4" s="5" t="n"/>
      <c r="H4" s="5" t="n"/>
    </row>
    <row r="5">
      <c r="B5" s="2" t="inlineStr">
        <is>
          <t>akb</t>
        </is>
      </c>
      <c r="C5" s="5" t="n">
        <v>40.56</v>
      </c>
      <c r="D5" s="7">
        <f>C5*H3</f>
        <v/>
      </c>
      <c r="E5" s="7">
        <f>C5+D5</f>
        <v/>
      </c>
      <c r="F5" s="5" t="n"/>
      <c r="G5" s="5" t="n"/>
      <c r="H5" s="5" t="n"/>
    </row>
    <row r="6">
      <c r="B6" s="2" t="inlineStr">
        <is>
          <t>jet</t>
        </is>
      </c>
      <c r="C6" s="5" t="n">
        <v>27.9</v>
      </c>
      <c r="D6" s="7">
        <f>C6*$H$3</f>
        <v/>
      </c>
      <c r="E6" s="7">
        <f>C6+D6</f>
        <v/>
      </c>
      <c r="F6" s="5" t="n"/>
      <c r="G6" s="5" t="n"/>
      <c r="H6" s="5" t="n"/>
    </row>
    <row r="7">
      <c r="B7" s="2" t="inlineStr">
        <is>
          <t>xabib</t>
        </is>
      </c>
      <c r="C7" s="5" t="n">
        <v>130.18</v>
      </c>
      <c r="D7" s="7">
        <f>C7*$H$3</f>
        <v/>
      </c>
      <c r="E7" s="7">
        <f>C7+D7</f>
        <v/>
      </c>
      <c r="F7" s="5" t="n"/>
      <c r="G7" s="5" t="n"/>
      <c r="H7" s="5" t="n"/>
    </row>
    <row r="8">
      <c r="B8" s="2" t="inlineStr">
        <is>
          <t>navo</t>
        </is>
      </c>
      <c r="C8" s="5" t="n">
        <v>32.64</v>
      </c>
      <c r="D8" s="7">
        <f>C8*$H$3</f>
        <v/>
      </c>
      <c r="E8" s="7">
        <f>C8+D8</f>
        <v/>
      </c>
      <c r="F8" s="5" t="n"/>
      <c r="G8" s="5" t="n"/>
      <c r="H8" s="5" t="n"/>
    </row>
    <row r="9">
      <c r="B9" s="2" t="inlineStr">
        <is>
          <t>izi</t>
        </is>
      </c>
      <c r="C9" s="5" t="n">
        <v>106.96</v>
      </c>
      <c r="D9" s="5" t="n"/>
      <c r="E9" s="7">
        <f>C9+D9</f>
        <v/>
      </c>
      <c r="F9" s="5" t="n"/>
      <c r="G9" s="5" t="n"/>
      <c r="H9" s="5" t="n"/>
    </row>
    <row r="10">
      <c r="B10" s="2" t="inlineStr">
        <is>
          <t>jon</t>
        </is>
      </c>
      <c r="C10" s="5" t="n">
        <v>25.66</v>
      </c>
      <c r="D10" s="7">
        <f>C10*$H$3</f>
        <v/>
      </c>
      <c r="E10" s="7">
        <f>C10+D10</f>
        <v/>
      </c>
      <c r="F10" s="5" t="n"/>
      <c r="G10" s="5" t="n"/>
      <c r="H10" s="5" t="n"/>
    </row>
    <row r="11">
      <c r="B11" s="2" t="inlineStr">
        <is>
          <t>one</t>
        </is>
      </c>
      <c r="C11" s="5" t="n">
        <v>27.68</v>
      </c>
      <c r="D11" s="7">
        <f>C11*$H$3</f>
        <v/>
      </c>
      <c r="E11" s="7">
        <f>C11+D11</f>
        <v/>
      </c>
      <c r="F11" s="5" t="n"/>
      <c r="G11" s="5" t="n"/>
      <c r="H11" s="5" t="n"/>
    </row>
    <row r="12">
      <c r="B12" s="2" t="inlineStr">
        <is>
          <t>redwing</t>
        </is>
      </c>
      <c r="C12" s="5" t="n">
        <v>21.84</v>
      </c>
      <c r="D12" s="7">
        <f>C12*$H$3</f>
        <v/>
      </c>
      <c r="E12" s="7">
        <f>C12+D12</f>
        <v/>
      </c>
      <c r="F12" s="5" t="n"/>
      <c r="G12" s="5" t="n"/>
      <c r="H12" s="5" t="n"/>
    </row>
    <row r="13">
      <c r="B13" s="2" t="inlineStr">
        <is>
          <t>triton</t>
        </is>
      </c>
      <c r="C13" s="5" t="n">
        <v>46.32</v>
      </c>
      <c r="D13" s="5" t="n"/>
      <c r="E13" s="7">
        <f>C13+D13</f>
        <v/>
      </c>
      <c r="F13" s="5" t="n"/>
      <c r="G13" s="5" t="n"/>
      <c r="H13" s="5" t="n"/>
    </row>
    <row r="14">
      <c r="B14" s="2" t="inlineStr">
        <is>
          <t>top</t>
        </is>
      </c>
      <c r="C14" s="5" t="n"/>
      <c r="D14" s="5" t="n"/>
      <c r="E14" s="5">
        <f>C14+D14</f>
        <v/>
      </c>
      <c r="F14" s="5" t="n"/>
      <c r="G14" s="5" t="n"/>
      <c r="H14" s="5" t="n"/>
    </row>
    <row r="15">
      <c r="B15" s="8" t="inlineStr">
        <is>
          <t>uzt</t>
        </is>
      </c>
      <c r="C15" s="8" t="n">
        <v>0.36</v>
      </c>
      <c r="D15" s="7">
        <f>C15*$H$3</f>
        <v/>
      </c>
      <c r="E15" s="9">
        <f>C15+D15</f>
        <v/>
      </c>
      <c r="F15" s="8" t="n"/>
      <c r="G15" s="8" t="n"/>
      <c r="H15" s="8" t="n"/>
    </row>
    <row r="16">
      <c r="C16" s="1" t="n"/>
    </row>
    <row r="25">
      <c r="A25" s="10" t="n"/>
    </row>
    <row r="129">
      <c r="A129" s="10" t="n"/>
    </row>
  </sheetData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2015-06-05T18:19:00Z</dcterms:created>
  <dcterms:modified xsi:type="dcterms:W3CDTF">2026-10-07T13:16:08Z</dcterms:modified>
  <cp:lastModifiedBy>Jorabekjon Gaybullayev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F22FAE614A234D14A35EEE34AD0EB9C3_12</vt:lpwstr>
  </property>
  <property name="KSOProductBuildVer" fmtid="{D5CDD505-2E9C-101B-9397-08002B2CF9AE}" pid="3">
    <vt:lpwstr>1049-12.1.0.26880</vt:lpwstr>
  </property>
  <property name="CalculationRule" fmtid="{D5CDD505-2E9C-101B-9397-08002B2CF9AE}" pid="4">
    <vt:i4>0</vt:i4>
  </property>
</Properties>
</file>